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raowe/Desktop/"/>
    </mc:Choice>
  </mc:AlternateContent>
  <xr:revisionPtr revIDLastSave="0" documentId="8_{B079F718-DD4A-914A-8573-EDE5F54AE990}" xr6:coauthVersionLast="47" xr6:coauthVersionMax="47" xr10:uidLastSave="{00000000-0000-0000-0000-000000000000}"/>
  <bookViews>
    <workbookView xWindow="0" yWindow="740" windowWidth="18580" windowHeight="17240" xr2:uid="{18133148-FF8D-284B-85DA-1444FF6565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K17" i="1"/>
  <c r="K18" i="1" s="1"/>
  <c r="G18" i="1" s="1"/>
  <c r="K20" i="1" l="1"/>
  <c r="K21" i="1" l="1"/>
  <c r="K22" i="1" s="1"/>
</calcChain>
</file>

<file path=xl/sharedStrings.xml><?xml version="1.0" encoding="utf-8"?>
<sst xmlns="http://schemas.openxmlformats.org/spreadsheetml/2006/main" count="19" uniqueCount="19">
  <si>
    <t xml:space="preserve">INPUT </t>
  </si>
  <si>
    <t xml:space="preserve">Target future amount </t>
  </si>
  <si>
    <t>Required saving per period</t>
  </si>
  <si>
    <t>Number of Payments</t>
  </si>
  <si>
    <t>Total Contributions</t>
  </si>
  <si>
    <t xml:space="preserve">Interest Earned </t>
  </si>
  <si>
    <t xml:space="preserve">Periodic Interest Rate </t>
  </si>
  <si>
    <t xml:space="preserve">Required Saving Per Period </t>
  </si>
  <si>
    <t xml:space="preserve">MAIN RESULT </t>
  </si>
  <si>
    <t xml:space="preserve">SAVINGS GOAL CALCULATOR </t>
  </si>
  <si>
    <t xml:space="preserve">Calculate how much to save periodically to reach a target future amount </t>
  </si>
  <si>
    <t xml:space="preserve">SUPPORTING RESULTS </t>
  </si>
  <si>
    <t>Contribution  Frequency</t>
  </si>
  <si>
    <t>Term (years)</t>
  </si>
  <si>
    <t xml:space="preserve">Annual Interest Rate </t>
  </si>
  <si>
    <t xml:space="preserve">                  INTERPRETATION</t>
  </si>
  <si>
    <t>Fill in your details below</t>
  </si>
  <si>
    <t>Yearly</t>
  </si>
  <si>
    <t xml:space="preserve">Future Value at Maturity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</si>
</sst>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rgb="FF002270"/>
      <name val="Aptos Narrow"/>
      <scheme val="minor"/>
    </font>
    <font>
      <sz val="12"/>
      <color rgb="FF002270"/>
      <name val="Aptos Italic"/>
    </font>
    <font>
      <sz val="12"/>
      <color rgb="FF00227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6"/>
      <color theme="1"/>
      <name val="Aptos Narrow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27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8E83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3" borderId="1" xfId="0" applyFont="1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8" xfId="0" applyFill="1" applyBorder="1"/>
    <xf numFmtId="0" fontId="0" fillId="7" borderId="7" xfId="0" applyFill="1" applyBorder="1"/>
    <xf numFmtId="0" fontId="3" fillId="4" borderId="1" xfId="0" applyFont="1" applyFill="1" applyBorder="1"/>
    <xf numFmtId="0" fontId="3" fillId="4" borderId="3" xfId="0" applyFont="1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3" fillId="2" borderId="9" xfId="0" applyFont="1" applyFill="1" applyBorder="1"/>
    <xf numFmtId="0" fontId="0" fillId="7" borderId="10" xfId="0" applyFill="1" applyBorder="1"/>
    <xf numFmtId="10" fontId="2" fillId="7" borderId="11" xfId="2" applyNumberFormat="1" applyFont="1" applyFill="1" applyBorder="1"/>
    <xf numFmtId="164" fontId="0" fillId="7" borderId="11" xfId="0" applyNumberFormat="1" applyFill="1" applyBorder="1"/>
    <xf numFmtId="0" fontId="0" fillId="2" borderId="9" xfId="0" applyFill="1" applyBorder="1"/>
    <xf numFmtId="0" fontId="0" fillId="5" borderId="1" xfId="0" applyFill="1" applyBorder="1"/>
    <xf numFmtId="0" fontId="0" fillId="5" borderId="10" xfId="0" applyFill="1" applyBorder="1"/>
    <xf numFmtId="164" fontId="9" fillId="6" borderId="4" xfId="1" applyNumberFormat="1" applyFont="1" applyFill="1" applyBorder="1" applyAlignment="1">
      <alignment horizontal="center"/>
    </xf>
    <xf numFmtId="164" fontId="9" fillId="6" borderId="5" xfId="1" applyNumberFormat="1" applyFont="1" applyFill="1" applyBorder="1" applyAlignment="1">
      <alignment horizontal="center"/>
    </xf>
    <xf numFmtId="0" fontId="0" fillId="7" borderId="1" xfId="0" applyFill="1" applyBorder="1"/>
    <xf numFmtId="0" fontId="0" fillId="7" borderId="2" xfId="0" applyFill="1" applyBorder="1"/>
    <xf numFmtId="0" fontId="0" fillId="7" borderId="0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5" fillId="7" borderId="0" xfId="0" applyFont="1" applyFill="1" applyBorder="1" applyAlignment="1">
      <alignment horizontal="center"/>
    </xf>
    <xf numFmtId="0" fontId="7" fillId="7" borderId="0" xfId="0" applyFont="1" applyFill="1" applyBorder="1"/>
    <xf numFmtId="0" fontId="6" fillId="7" borderId="0" xfId="0" applyFont="1" applyFill="1" applyBorder="1" applyAlignment="1">
      <alignment horizontal="center"/>
    </xf>
    <xf numFmtId="0" fontId="2" fillId="7" borderId="0" xfId="0" applyFont="1" applyFill="1" applyBorder="1"/>
    <xf numFmtId="0" fontId="2" fillId="7" borderId="0" xfId="0" applyFont="1" applyFill="1" applyBorder="1" applyAlignment="1">
      <alignment vertical="center"/>
    </xf>
    <xf numFmtId="0" fontId="4" fillId="3" borderId="0" xfId="0" applyFont="1" applyFill="1" applyBorder="1"/>
    <xf numFmtId="164" fontId="10" fillId="7" borderId="11" xfId="0" applyNumberFormat="1" applyFont="1" applyFill="1" applyBorder="1"/>
    <xf numFmtId="164" fontId="0" fillId="7" borderId="11" xfId="0" applyNumberFormat="1" applyFill="1" applyBorder="1" applyProtection="1">
      <protection locked="0"/>
    </xf>
    <xf numFmtId="9" fontId="0" fillId="7" borderId="11" xfId="0" applyNumberFormat="1" applyFill="1" applyBorder="1" applyProtection="1">
      <protection locked="0"/>
    </xf>
    <xf numFmtId="0" fontId="0" fillId="7" borderId="11" xfId="0" applyFill="1" applyBorder="1" applyProtection="1">
      <protection locked="0"/>
    </xf>
    <xf numFmtId="0" fontId="8" fillId="8" borderId="10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8E83B"/>
      <color rgb="FFE7E51A"/>
      <color rgb="FF0022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213332</xdr:colOff>
      <xdr:row>20</xdr:row>
      <xdr:rowOff>165101</xdr:rowOff>
    </xdr:from>
    <xdr:ext cx="2525730" cy="12192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EA798A-A57A-2429-7604-8901ECCB8922}"/>
            </a:ext>
          </a:extLst>
        </xdr:cNvPr>
        <xdr:cNvSpPr txBox="1"/>
      </xdr:nvSpPr>
      <xdr:spPr>
        <a:xfrm>
          <a:off x="1864332" y="4813301"/>
          <a:ext cx="2525730" cy="12192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100" b="1"/>
            <a:t>         About the Calculator </a:t>
          </a:r>
        </a:p>
        <a:p>
          <a:pPr algn="l"/>
          <a:r>
            <a:rPr lang="en-US" sz="1100"/>
            <a:t>This calculator determines the</a:t>
          </a:r>
          <a:r>
            <a:rPr lang="en-US" sz="1100" baseline="0"/>
            <a:t> </a:t>
          </a:r>
          <a:r>
            <a:rPr lang="en-US" sz="1100"/>
            <a:t>required</a:t>
          </a:r>
          <a:r>
            <a:rPr lang="en-US" sz="1100" baseline="0"/>
            <a:t> periodic saving amount needed to reach your target future amount, based on the  interest rate, time period and contirbution frequency you select. </a:t>
          </a:r>
          <a:endParaRPr lang="en-US" sz="1100"/>
        </a:p>
      </xdr:txBody>
    </xdr:sp>
    <xdr:clientData/>
  </xdr:oneCellAnchor>
  <xdr:oneCellAnchor>
    <xdr:from>
      <xdr:col>6</xdr:col>
      <xdr:colOff>0</xdr:colOff>
      <xdr:row>22</xdr:row>
      <xdr:rowOff>42809</xdr:rowOff>
    </xdr:from>
    <xdr:ext cx="1840787" cy="76999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6873C3-52EF-A662-E683-7B9CC7166E85}"/>
            </a:ext>
          </a:extLst>
        </xdr:cNvPr>
        <xdr:cNvSpPr txBox="1"/>
      </xdr:nvSpPr>
      <xdr:spPr>
        <a:xfrm>
          <a:off x="4610100" y="5199009"/>
          <a:ext cx="1840787" cy="769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This is the amount you need to save each period to reach your goal .</a:t>
          </a:r>
        </a:p>
      </xdr:txBody>
    </xdr:sp>
    <xdr:clientData/>
  </xdr:oneCellAnchor>
  <xdr:oneCellAnchor>
    <xdr:from>
      <xdr:col>2</xdr:col>
      <xdr:colOff>211762</xdr:colOff>
      <xdr:row>28</xdr:row>
      <xdr:rowOff>99888</xdr:rowOff>
    </xdr:from>
    <xdr:ext cx="7622284" cy="52797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EA20D5A-BEEE-DFBD-63A7-E0864ABC72E5}"/>
            </a:ext>
          </a:extLst>
        </xdr:cNvPr>
        <xdr:cNvSpPr txBox="1"/>
      </xdr:nvSpPr>
      <xdr:spPr>
        <a:xfrm>
          <a:off x="211762" y="5179888"/>
          <a:ext cx="7622284" cy="5279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vl="1" algn="ctr"/>
          <a:r>
            <a:rPr lang="en-US"/>
            <a:t>Based on your </a:t>
          </a:r>
          <a:r>
            <a:rPr lang="en-US" b="1"/>
            <a:t>savings goal</a:t>
          </a:r>
          <a:r>
            <a:rPr lang="en-US"/>
            <a:t>, </a:t>
          </a:r>
          <a:r>
            <a:rPr lang="en-US" b="1"/>
            <a:t>interest rate, investment period, and contribution frequency</a:t>
          </a:r>
          <a:r>
            <a:rPr lang="en-US"/>
            <a:t>,</a:t>
          </a:r>
        </a:p>
        <a:p>
          <a:pPr lvl="1" algn="ctr"/>
          <a:r>
            <a:rPr lang="en-US"/>
            <a:t> the calculator estimates the </a:t>
          </a:r>
          <a:r>
            <a:rPr lang="en-US" b="1"/>
            <a:t>regular amount</a:t>
          </a:r>
          <a:r>
            <a:rPr lang="en-US" baseline="0"/>
            <a:t> </a:t>
          </a:r>
          <a:r>
            <a:rPr lang="en-US"/>
            <a:t>required each period to achieve </a:t>
          </a:r>
          <a:r>
            <a:rPr lang="en-US" b="1"/>
            <a:t>your target future amount</a:t>
          </a:r>
          <a:r>
            <a:rPr lang="en-US"/>
            <a:t>.</a:t>
          </a:r>
        </a:p>
      </xdr:txBody>
    </xdr:sp>
    <xdr:clientData/>
  </xdr:oneCellAnchor>
  <xdr:oneCellAnchor>
    <xdr:from>
      <xdr:col>3</xdr:col>
      <xdr:colOff>1358900</xdr:colOff>
      <xdr:row>33</xdr:row>
      <xdr:rowOff>50800</xdr:rowOff>
    </xdr:from>
    <xdr:ext cx="4349076" cy="78124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34F0E24-5DBD-72B5-55AE-6AF7C26A026D}"/>
            </a:ext>
          </a:extLst>
        </xdr:cNvPr>
        <xdr:cNvSpPr txBox="1"/>
      </xdr:nvSpPr>
      <xdr:spPr>
        <a:xfrm>
          <a:off x="3009900" y="6146800"/>
          <a:ext cx="4349076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/>
            <a:t>Notes </a:t>
          </a:r>
        </a:p>
        <a:p>
          <a:r>
            <a:rPr lang="en-US"/>
            <a:t>*</a:t>
          </a:r>
          <a:r>
            <a:rPr lang="en-US" baseline="0"/>
            <a:t> </a:t>
          </a:r>
          <a:r>
            <a:rPr lang="en-US"/>
            <a:t>Interest is compounded based on the selected frequency.</a:t>
          </a:r>
        </a:p>
        <a:p>
          <a:r>
            <a:rPr lang="en-US"/>
            <a:t>* Contributions are assumed to be made at the end of each savings period.</a:t>
          </a:r>
        </a:p>
        <a:p>
          <a:endParaRPr lang="en-US" sz="1100"/>
        </a:p>
      </xdr:txBody>
    </xdr:sp>
    <xdr:clientData/>
  </xdr:oneCellAnchor>
  <xdr:oneCellAnchor>
    <xdr:from>
      <xdr:col>12</xdr:col>
      <xdr:colOff>527406</xdr:colOff>
      <xdr:row>22</xdr:row>
      <xdr:rowOff>170665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92AB5B1-7367-0FAB-B9C1-A2AAC31C69CE}"/>
            </a:ext>
          </a:extLst>
        </xdr:cNvPr>
        <xdr:cNvSpPr txBox="1"/>
      </xdr:nvSpPr>
      <xdr:spPr>
        <a:xfrm>
          <a:off x="8632575" y="405201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527977</xdr:colOff>
      <xdr:row>19</xdr:row>
      <xdr:rowOff>242584</xdr:rowOff>
    </xdr:from>
    <xdr:to>
      <xdr:col>7</xdr:col>
      <xdr:colOff>281113</xdr:colOff>
      <xdr:row>22</xdr:row>
      <xdr:rowOff>111225</xdr:rowOff>
    </xdr:to>
    <xdr:pic>
      <xdr:nvPicPr>
        <xdr:cNvPr id="10" name="Picture 9" descr="Money bag vector icon illustration ...">
          <a:extLst>
            <a:ext uri="{FF2B5EF4-FFF2-40B4-BE49-F238E27FC236}">
              <a16:creationId xmlns:a16="http://schemas.microsoft.com/office/drawing/2014/main" id="{A57996D8-7C3C-D02D-C1D7-0AC91E83A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1797" y="3125056"/>
          <a:ext cx="680663" cy="6677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</xdr:pic>
    <xdr:clientData/>
  </xdr:twoCellAnchor>
  <xdr:twoCellAnchor editAs="oneCell">
    <xdr:from>
      <xdr:col>10</xdr:col>
      <xdr:colOff>470900</xdr:colOff>
      <xdr:row>14</xdr:row>
      <xdr:rowOff>18515</xdr:rowOff>
    </xdr:from>
    <xdr:to>
      <xdr:col>10</xdr:col>
      <xdr:colOff>770562</xdr:colOff>
      <xdr:row>14</xdr:row>
      <xdr:rowOff>312504</xdr:rowOff>
    </xdr:to>
    <xdr:pic>
      <xdr:nvPicPr>
        <xdr:cNvPr id="11" name="Picture 10" descr="Chart - Free business icons">
          <a:extLst>
            <a:ext uri="{FF2B5EF4-FFF2-40B4-BE49-F238E27FC236}">
              <a16:creationId xmlns:a16="http://schemas.microsoft.com/office/drawing/2014/main" id="{E6F1E76F-BBB5-3EB0-FD1C-30B3C20B1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844" y="1416942"/>
          <a:ext cx="299662" cy="293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933658</xdr:colOff>
      <xdr:row>33</xdr:row>
      <xdr:rowOff>102519</xdr:rowOff>
    </xdr:from>
    <xdr:to>
      <xdr:col>3</xdr:col>
      <xdr:colOff>1325417</xdr:colOff>
      <xdr:row>35</xdr:row>
      <xdr:rowOff>64653</xdr:rowOff>
    </xdr:to>
    <xdr:pic>
      <xdr:nvPicPr>
        <xdr:cNvPr id="12" name="Picture 11" descr="Clipboard Icon Stock Illustrations – 97 ...">
          <a:extLst>
            <a:ext uri="{FF2B5EF4-FFF2-40B4-BE49-F238E27FC236}">
              <a16:creationId xmlns:a16="http://schemas.microsoft.com/office/drawing/2014/main" id="{DEF319A6-3A52-3BFF-6C1F-08D1975C0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558" y="7493919"/>
          <a:ext cx="391759" cy="368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11543</xdr:colOff>
      <xdr:row>27</xdr:row>
      <xdr:rowOff>1</xdr:rowOff>
    </xdr:from>
    <xdr:to>
      <xdr:col>3</xdr:col>
      <xdr:colOff>229036</xdr:colOff>
      <xdr:row>28</xdr:row>
      <xdr:rowOff>4130</xdr:rowOff>
    </xdr:to>
    <xdr:pic>
      <xdr:nvPicPr>
        <xdr:cNvPr id="13" name="Picture 12" descr="Electricity light bulb lightbulb - free ...">
          <a:extLst>
            <a:ext uri="{FF2B5EF4-FFF2-40B4-BE49-F238E27FC236}">
              <a16:creationId xmlns:a16="http://schemas.microsoft.com/office/drawing/2014/main" id="{55DA95DD-C67C-5282-6857-A57380FA2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 flipV="1">
          <a:off x="230907" y="5218546"/>
          <a:ext cx="217493" cy="2119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1066800</xdr:colOff>
      <xdr:row>8</xdr:row>
      <xdr:rowOff>29635</xdr:rowOff>
    </xdr:from>
    <xdr:to>
      <xdr:col>3</xdr:col>
      <xdr:colOff>1617131</xdr:colOff>
      <xdr:row>10</xdr:row>
      <xdr:rowOff>171131</xdr:rowOff>
    </xdr:to>
    <xdr:pic>
      <xdr:nvPicPr>
        <xdr:cNvPr id="16" name="Picture 15" descr="Commercial Building Icon: Over 169,231 ...">
          <a:extLst>
            <a:ext uri="{FF2B5EF4-FFF2-40B4-BE49-F238E27FC236}">
              <a16:creationId xmlns:a16="http://schemas.microsoft.com/office/drawing/2014/main" id="{FED70374-C562-59DC-76C1-D08DD1AB2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0" y="1655235"/>
          <a:ext cx="550331" cy="54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16934</xdr:colOff>
      <xdr:row>11</xdr:row>
      <xdr:rowOff>50800</xdr:rowOff>
    </xdr:from>
    <xdr:to>
      <xdr:col>11</xdr:col>
      <xdr:colOff>84667</xdr:colOff>
      <xdr:row>11</xdr:row>
      <xdr:rowOff>67733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758167B-E117-2A46-1B0F-0D28EFF4C5F1}"/>
            </a:ext>
          </a:extLst>
        </xdr:cNvPr>
        <xdr:cNvCxnSpPr/>
      </xdr:nvCxnSpPr>
      <xdr:spPr>
        <a:xfrm>
          <a:off x="237067" y="863600"/>
          <a:ext cx="7721600" cy="1693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533400</xdr:colOff>
      <xdr:row>14</xdr:row>
      <xdr:rowOff>0</xdr:rowOff>
    </xdr:from>
    <xdr:to>
      <xdr:col>4</xdr:col>
      <xdr:colOff>876300</xdr:colOff>
      <xdr:row>15</xdr:row>
      <xdr:rowOff>25400</xdr:rowOff>
    </xdr:to>
    <xdr:pic>
      <xdr:nvPicPr>
        <xdr:cNvPr id="20" name="Picture 19" descr="Writing - Free files and folders icons">
          <a:extLst>
            <a:ext uri="{FF2B5EF4-FFF2-40B4-BE49-F238E27FC236}">
              <a16:creationId xmlns:a16="http://schemas.microsoft.com/office/drawing/2014/main" id="{CB5FBD81-1D78-F0D7-0613-79BB3AEF6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2844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1600200</xdr:colOff>
      <xdr:row>20</xdr:row>
      <xdr:rowOff>152400</xdr:rowOff>
    </xdr:from>
    <xdr:to>
      <xdr:col>4</xdr:col>
      <xdr:colOff>190500</xdr:colOff>
      <xdr:row>21</xdr:row>
      <xdr:rowOff>63500</xdr:rowOff>
    </xdr:to>
    <xdr:pic>
      <xdr:nvPicPr>
        <xdr:cNvPr id="22" name="Picture 21" descr="Info icon vector template. information ...">
          <a:extLst>
            <a:ext uri="{FF2B5EF4-FFF2-40B4-BE49-F238E27FC236}">
              <a16:creationId xmlns:a16="http://schemas.microsoft.com/office/drawing/2014/main" id="{9B515884-55BD-A0F5-4A34-2FD880EBA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4800600"/>
          <a:ext cx="21590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7A22-B98E-124D-A4ED-F105862EEBEF}">
  <dimension ref="C8:L38"/>
  <sheetViews>
    <sheetView tabSelected="1" topLeftCell="A5" workbookViewId="0">
      <selection activeCell="G6" sqref="G6"/>
    </sheetView>
  </sheetViews>
  <sheetFormatPr baseColWidth="10" defaultRowHeight="16"/>
  <cols>
    <col min="3" max="3" width="2.83203125" customWidth="1"/>
    <col min="4" max="4" width="21.33203125" customWidth="1"/>
    <col min="5" max="5" width="14.83203125" customWidth="1"/>
    <col min="6" max="6" width="3.1640625" customWidth="1"/>
    <col min="7" max="8" width="12.1640625" customWidth="1"/>
    <col min="9" max="9" width="3.5" customWidth="1"/>
    <col min="10" max="10" width="25.6640625" customWidth="1"/>
    <col min="11" max="11" width="17.83203125" customWidth="1"/>
    <col min="12" max="12" width="3.5" customWidth="1"/>
  </cols>
  <sheetData>
    <row r="8" spans="3:12">
      <c r="C8" s="25"/>
      <c r="D8" s="26"/>
      <c r="E8" s="26"/>
      <c r="F8" s="26"/>
      <c r="G8" s="26"/>
      <c r="H8" s="26"/>
      <c r="I8" s="26"/>
      <c r="J8" s="26"/>
      <c r="K8" s="26"/>
      <c r="L8" s="2"/>
    </row>
    <row r="9" spans="3:12">
      <c r="C9" s="3"/>
      <c r="D9" s="27"/>
      <c r="E9" s="36" t="s">
        <v>9</v>
      </c>
      <c r="F9" s="36"/>
      <c r="G9" s="36"/>
      <c r="H9" s="36"/>
      <c r="I9" s="36"/>
      <c r="J9" s="36"/>
      <c r="K9" s="37"/>
      <c r="L9" s="4"/>
    </row>
    <row r="10" spans="3:12">
      <c r="C10" s="3"/>
      <c r="D10" s="27"/>
      <c r="E10" s="36"/>
      <c r="F10" s="36"/>
      <c r="G10" s="36"/>
      <c r="H10" s="36"/>
      <c r="I10" s="36"/>
      <c r="J10" s="36"/>
      <c r="K10" s="27"/>
      <c r="L10" s="4"/>
    </row>
    <row r="11" spans="3:12">
      <c r="C11" s="3"/>
      <c r="D11" s="27"/>
      <c r="E11" s="38" t="s">
        <v>10</v>
      </c>
      <c r="F11" s="38"/>
      <c r="G11" s="38"/>
      <c r="H11" s="38"/>
      <c r="I11" s="38"/>
      <c r="J11" s="38"/>
      <c r="K11" s="27"/>
      <c r="L11" s="4"/>
    </row>
    <row r="12" spans="3:12">
      <c r="C12" s="3"/>
      <c r="D12" s="27"/>
      <c r="E12" s="27"/>
      <c r="F12" s="27"/>
      <c r="G12" s="27"/>
      <c r="H12" s="27"/>
      <c r="I12" s="27"/>
      <c r="J12" s="27"/>
      <c r="K12" s="27"/>
      <c r="L12" s="4"/>
    </row>
    <row r="13" spans="3:12">
      <c r="C13" s="3"/>
      <c r="D13" s="27"/>
      <c r="E13" s="27"/>
      <c r="F13" s="27"/>
      <c r="G13" s="27"/>
      <c r="H13" s="27"/>
      <c r="I13" s="27"/>
      <c r="J13" s="27"/>
      <c r="K13" s="27"/>
      <c r="L13" s="4"/>
    </row>
    <row r="14" spans="3:12">
      <c r="C14" s="3"/>
      <c r="D14" s="27"/>
      <c r="E14" s="27"/>
      <c r="F14" s="27"/>
      <c r="G14" s="27"/>
      <c r="H14" s="27"/>
      <c r="I14" s="27"/>
      <c r="J14" s="27"/>
      <c r="K14" s="27"/>
      <c r="L14" s="4"/>
    </row>
    <row r="15" spans="3:12" ht="25" customHeight="1">
      <c r="C15" s="3"/>
      <c r="D15" s="16" t="s">
        <v>0</v>
      </c>
      <c r="E15" s="20"/>
      <c r="F15" s="27"/>
      <c r="G15" s="8" t="s">
        <v>8</v>
      </c>
      <c r="H15" s="9"/>
      <c r="I15" s="27"/>
      <c r="J15" s="16" t="s">
        <v>11</v>
      </c>
      <c r="K15" s="16"/>
      <c r="L15" s="4"/>
    </row>
    <row r="16" spans="3:12" ht="22" customHeight="1">
      <c r="C16" s="3"/>
      <c r="D16" s="46" t="s">
        <v>16</v>
      </c>
      <c r="E16" s="47"/>
      <c r="F16" s="27"/>
      <c r="G16" s="10"/>
      <c r="H16" s="11"/>
      <c r="I16" s="27"/>
      <c r="J16" s="3"/>
      <c r="K16" s="4"/>
      <c r="L16" s="4"/>
    </row>
    <row r="17" spans="3:12" ht="23" customHeight="1">
      <c r="C17" s="3"/>
      <c r="D17" s="22" t="s">
        <v>1</v>
      </c>
      <c r="E17" s="43">
        <v>1000000</v>
      </c>
      <c r="F17" s="27"/>
      <c r="G17" s="10" t="s">
        <v>7</v>
      </c>
      <c r="H17" s="11"/>
      <c r="I17" s="27"/>
      <c r="J17" s="17" t="s">
        <v>6</v>
      </c>
      <c r="K17" s="18">
        <f>IF(E20="Yearly",$E$18, IF(E20="Monthly", ((((1+$E$18)^(1/12))-1)*12), IF(E20= "Fortnightly",((((1+$E$18)^(1/26))-1)*26))))</f>
        <v>0.6</v>
      </c>
      <c r="L17" s="4"/>
    </row>
    <row r="18" spans="3:12" ht="25" customHeight="1">
      <c r="C18" s="3"/>
      <c r="D18" s="22" t="s">
        <v>14</v>
      </c>
      <c r="E18" s="44">
        <v>0.6</v>
      </c>
      <c r="F18" s="27"/>
      <c r="G18" s="23">
        <f>K18</f>
        <v>5507.0545802688521</v>
      </c>
      <c r="H18" s="24"/>
      <c r="I18" s="27"/>
      <c r="J18" s="22" t="s">
        <v>2</v>
      </c>
      <c r="K18" s="42">
        <f>E17/((((((1+E18)^E19)-1)/(K17))*(IF(E20="Fortnightly",26,IF(E20="Monthly",12,IF(E20="Yearly",1," "))))))</f>
        <v>5507.0545802688521</v>
      </c>
      <c r="L18" s="4"/>
    </row>
    <row r="19" spans="3:12" ht="23" customHeight="1">
      <c r="C19" s="3"/>
      <c r="D19" s="22" t="s">
        <v>13</v>
      </c>
      <c r="E19" s="45">
        <v>10</v>
      </c>
      <c r="F19" s="27"/>
      <c r="G19" s="23"/>
      <c r="H19" s="24"/>
      <c r="I19" s="27"/>
      <c r="J19" s="17" t="s">
        <v>3</v>
      </c>
      <c r="K19" s="19">
        <f>E19*(IF(E20="Fortnightly",26,IF(E20="Monthly",12,IF(E20="Yearly",1," "))))</f>
        <v>10</v>
      </c>
      <c r="L19" s="4"/>
    </row>
    <row r="20" spans="3:12" ht="24" customHeight="1">
      <c r="C20" s="3"/>
      <c r="D20" s="22" t="s">
        <v>12</v>
      </c>
      <c r="E20" s="45" t="s">
        <v>17</v>
      </c>
      <c r="F20" s="27"/>
      <c r="G20" s="10"/>
      <c r="H20" s="11"/>
      <c r="I20" s="27"/>
      <c r="J20" s="17" t="s">
        <v>4</v>
      </c>
      <c r="K20" s="19">
        <f>K19*K18</f>
        <v>55070.545802688517</v>
      </c>
      <c r="L20" s="4"/>
    </row>
    <row r="21" spans="3:12" ht="24" customHeight="1">
      <c r="C21" s="3"/>
      <c r="D21" s="27"/>
      <c r="E21" s="27"/>
      <c r="F21" s="27"/>
      <c r="G21" s="10"/>
      <c r="H21" s="11"/>
      <c r="I21" s="27"/>
      <c r="J21" s="22" t="s">
        <v>5</v>
      </c>
      <c r="K21" s="42">
        <f>E17-K20</f>
        <v>944929.45419731154</v>
      </c>
      <c r="L21" s="4"/>
    </row>
    <row r="22" spans="3:12">
      <c r="C22" s="3"/>
      <c r="D22" s="27"/>
      <c r="E22" s="27"/>
      <c r="F22" s="27"/>
      <c r="G22" s="10"/>
      <c r="H22" s="11"/>
      <c r="I22" s="27"/>
      <c r="J22" s="17" t="s">
        <v>18</v>
      </c>
      <c r="K22" s="19">
        <f>K20+K21</f>
        <v>1000000</v>
      </c>
      <c r="L22" s="4"/>
    </row>
    <row r="23" spans="3:12">
      <c r="C23" s="3"/>
      <c r="D23" s="27"/>
      <c r="E23" s="27"/>
      <c r="F23" s="27"/>
      <c r="G23" s="10"/>
      <c r="H23" s="11"/>
      <c r="I23" s="27"/>
      <c r="J23" s="27"/>
      <c r="K23" s="27"/>
      <c r="L23" s="4"/>
    </row>
    <row r="24" spans="3:12">
      <c r="C24" s="3"/>
      <c r="D24" s="27"/>
      <c r="E24" s="27"/>
      <c r="F24" s="27"/>
      <c r="G24" s="10"/>
      <c r="H24" s="11"/>
      <c r="I24" s="27"/>
      <c r="J24" s="27"/>
      <c r="K24" s="39"/>
      <c r="L24" s="4"/>
    </row>
    <row r="25" spans="3:12">
      <c r="C25" s="3"/>
      <c r="D25" s="27"/>
      <c r="E25" s="27"/>
      <c r="F25" s="27"/>
      <c r="G25" s="10"/>
      <c r="H25" s="11"/>
      <c r="I25" s="27"/>
      <c r="J25" s="27"/>
      <c r="K25" s="40"/>
      <c r="L25" s="4"/>
    </row>
    <row r="26" spans="3:12">
      <c r="C26" s="3"/>
      <c r="D26" s="27"/>
      <c r="E26" s="27"/>
      <c r="F26" s="27"/>
      <c r="G26" s="12"/>
      <c r="H26" s="13"/>
      <c r="I26" s="27"/>
      <c r="J26" s="27"/>
      <c r="K26" s="27"/>
      <c r="L26" s="4"/>
    </row>
    <row r="27" spans="3:12">
      <c r="C27" s="3"/>
      <c r="D27" s="27"/>
      <c r="E27" s="27"/>
      <c r="F27" s="27"/>
      <c r="G27" s="27"/>
      <c r="H27" s="27"/>
      <c r="I27" s="27"/>
      <c r="J27" s="27"/>
      <c r="K27" s="27"/>
      <c r="L27" s="4"/>
    </row>
    <row r="28" spans="3:12">
      <c r="C28" s="3"/>
      <c r="D28" s="1" t="s">
        <v>15</v>
      </c>
      <c r="E28" s="14"/>
      <c r="F28" s="14"/>
      <c r="G28" s="41"/>
      <c r="H28" s="41"/>
      <c r="I28" s="14"/>
      <c r="J28" s="14"/>
      <c r="K28" s="15"/>
      <c r="L28" s="4"/>
    </row>
    <row r="29" spans="3:12">
      <c r="C29" s="3"/>
      <c r="D29" s="3"/>
      <c r="E29" s="27"/>
      <c r="F29" s="27"/>
      <c r="G29" s="27"/>
      <c r="H29" s="27"/>
      <c r="I29" s="40"/>
      <c r="J29" s="27"/>
      <c r="K29" s="4"/>
      <c r="L29" s="4"/>
    </row>
    <row r="30" spans="3:12">
      <c r="C30" s="3"/>
      <c r="D30" s="3"/>
      <c r="E30" s="27"/>
      <c r="F30" s="27"/>
      <c r="G30" s="27"/>
      <c r="H30" s="27"/>
      <c r="I30" s="27"/>
      <c r="J30" s="27"/>
      <c r="K30" s="4"/>
      <c r="L30" s="4"/>
    </row>
    <row r="31" spans="3:12">
      <c r="C31" s="3"/>
      <c r="D31" s="3"/>
      <c r="E31" s="27"/>
      <c r="F31" s="27"/>
      <c r="G31" s="27"/>
      <c r="H31" s="27"/>
      <c r="I31" s="27"/>
      <c r="J31" s="27"/>
      <c r="K31" s="4"/>
      <c r="L31" s="4"/>
    </row>
    <row r="32" spans="3:12">
      <c r="C32" s="3"/>
      <c r="D32" s="5"/>
      <c r="E32" s="7"/>
      <c r="F32" s="7"/>
      <c r="G32" s="7"/>
      <c r="H32" s="7"/>
      <c r="I32" s="7"/>
      <c r="J32" s="7"/>
      <c r="K32" s="6"/>
      <c r="L32" s="4"/>
    </row>
    <row r="33" spans="3:12">
      <c r="C33" s="3"/>
      <c r="D33" s="27"/>
      <c r="E33" s="27"/>
      <c r="F33" s="27"/>
      <c r="G33" s="27"/>
      <c r="H33" s="27"/>
      <c r="I33" s="27"/>
      <c r="J33" s="27"/>
      <c r="K33" s="27"/>
      <c r="L33" s="4"/>
    </row>
    <row r="34" spans="3:12">
      <c r="C34" s="3"/>
      <c r="D34" s="21"/>
      <c r="E34" s="28"/>
      <c r="F34" s="28"/>
      <c r="G34" s="28"/>
      <c r="H34" s="28"/>
      <c r="I34" s="28"/>
      <c r="J34" s="28"/>
      <c r="K34" s="29"/>
      <c r="L34" s="4"/>
    </row>
    <row r="35" spans="3:12">
      <c r="C35" s="3"/>
      <c r="D35" s="30"/>
      <c r="E35" s="31"/>
      <c r="F35" s="31"/>
      <c r="G35" s="31"/>
      <c r="H35" s="31"/>
      <c r="I35" s="31"/>
      <c r="J35" s="31"/>
      <c r="K35" s="32"/>
      <c r="L35" s="4"/>
    </row>
    <row r="36" spans="3:12">
      <c r="C36" s="3"/>
      <c r="D36" s="33"/>
      <c r="E36" s="34"/>
      <c r="F36" s="34"/>
      <c r="G36" s="34"/>
      <c r="H36" s="34"/>
      <c r="I36" s="34"/>
      <c r="J36" s="34"/>
      <c r="K36" s="35"/>
      <c r="L36" s="4"/>
    </row>
    <row r="37" spans="3:12">
      <c r="C37" s="3"/>
      <c r="D37" s="27"/>
      <c r="E37" s="27"/>
      <c r="F37" s="27"/>
      <c r="G37" s="27"/>
      <c r="H37" s="27"/>
      <c r="I37" s="27"/>
      <c r="J37" s="27"/>
      <c r="K37" s="27"/>
      <c r="L37" s="4"/>
    </row>
    <row r="38" spans="3:12">
      <c r="C38" s="5"/>
      <c r="D38" s="7"/>
      <c r="E38" s="7"/>
      <c r="F38" s="7"/>
      <c r="G38" s="7"/>
      <c r="H38" s="7"/>
      <c r="I38" s="7"/>
      <c r="J38" s="7"/>
      <c r="K38" s="7"/>
      <c r="L38" s="6"/>
    </row>
  </sheetData>
  <sheetProtection selectLockedCells="1"/>
  <mergeCells count="4">
    <mergeCell ref="E9:J10"/>
    <mergeCell ref="E11:J11"/>
    <mergeCell ref="G18:H19"/>
    <mergeCell ref="D16:E16"/>
  </mergeCells>
  <dataValidations count="1">
    <dataValidation type="list" allowBlank="1" showInputMessage="1" showErrorMessage="1" sqref="E20" xr:uid="{2F67AF7C-47E2-B04D-93D7-F44C4605DBC0}">
      <formula1>"Fortnightly,Monthly,Yearly"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Omotekoro Sandra Owe</dc:creator>
  <cp:lastModifiedBy>Omotekoro Sandra Owe</cp:lastModifiedBy>
  <dcterms:created xsi:type="dcterms:W3CDTF">2026-05-04T13:09:38Z</dcterms:created>
  <dcterms:modified xsi:type="dcterms:W3CDTF">2026-05-09T04:35:01Z</dcterms:modified>
</cp:coreProperties>
</file>